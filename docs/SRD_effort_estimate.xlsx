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wer BI Estimate" sheetId="2" state="visible" r:id="rId2"/>
    <sheet name="Effort Estimate" sheetId="3" state="visible" r:id="rId3"/>
    <sheet name="Assumptions" sheetId="4" state="visible" r:id="rId4"/>
    <sheet name="Requirement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165" fontId="5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right" vertical="top"/>
    </xf>
    <xf numFmtId="166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horizontal="right" vertical="top"/>
    </xf>
    <xf numFmtId="166" fontId="6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right" vertical="top"/>
    </xf>
    <xf numFmtId="0" fontId="3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1" pivotButton="0" quotePrefix="0" xfId="0"/>
    <xf numFmtId="164" fontId="6" fillId="4" borderId="1" pivotButton="0" quotePrefix="0" xfId="0"/>
    <xf numFmtId="165" fontId="5" fillId="0" borderId="1" pivotButton="0" quotePrefix="0" xfId="0"/>
    <xf numFmtId="164" fontId="6" fillId="0" borderId="0" pivotButton="0" quotePrefix="0" xfId="0"/>
    <xf numFmtId="164" fontId="4" fillId="0" borderId="1" applyAlignment="1" pivotButton="0" quotePrefix="0" xfId="0">
      <alignment horizontal="right" vertical="top"/>
    </xf>
    <xf numFmtId="166" fontId="5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horizontal="right" vertical="top"/>
    </xf>
    <xf numFmtId="166" fontId="6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horizontal="right" vertical="top"/>
    </xf>
    <xf numFmtId="164" fontId="6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SRD Logistics Dashboard Enhancement - Effort Summary</t>
        </is>
      </c>
    </row>
    <row r="3">
      <c r="A3" s="2" t="inlineStr">
        <is>
          <t>Option A: Streamlit/Python (incl. data layer)</t>
        </is>
      </c>
      <c r="B3" s="2" t="inlineStr">
        <is>
          <t>Best case</t>
        </is>
      </c>
      <c r="C3" s="2" t="inlineStr">
        <is>
          <t>Estimated</t>
        </is>
      </c>
      <c r="D3" s="2" t="inlineStr">
        <is>
          <t>Worst case</t>
        </is>
      </c>
    </row>
    <row r="4">
      <c r="A4" s="3" t="inlineStr">
        <is>
          <t>Base effort (hours)</t>
        </is>
      </c>
      <c r="B4" s="25">
        <f>'Effort Estimate'!E18</f>
        <v/>
      </c>
      <c r="C4" s="25">
        <f>'Effort Estimate'!F18</f>
        <v/>
      </c>
      <c r="D4" s="25">
        <f>'Effort Estimate'!G18</f>
        <v/>
      </c>
    </row>
    <row r="5">
      <c r="A5" s="3" t="inlineStr">
        <is>
          <t>Contingency buffer (hours)</t>
        </is>
      </c>
      <c r="B5" s="25">
        <f>'Effort Estimate'!E19</f>
        <v/>
      </c>
      <c r="C5" s="25">
        <f>'Effort Estimate'!F19</f>
        <v/>
      </c>
      <c r="D5" s="25">
        <f>'Effort Estimate'!G19</f>
        <v/>
      </c>
    </row>
    <row r="6">
      <c r="A6" s="5" t="inlineStr">
        <is>
          <t>Total with buffer (hours)</t>
        </is>
      </c>
      <c r="B6" s="26">
        <f>'Effort Estimate'!E20</f>
        <v/>
      </c>
      <c r="C6" s="26">
        <f>'Effort Estimate'!F20</f>
        <v/>
      </c>
      <c r="D6" s="26">
        <f>'Effort Estimate'!G20</f>
        <v/>
      </c>
    </row>
    <row r="7">
      <c r="A7" s="3" t="inlineStr">
        <is>
          <t>Working days</t>
        </is>
      </c>
      <c r="B7" s="27">
        <f>B6/(Assumptions!$B$4*Assumptions!$B$6)</f>
        <v/>
      </c>
      <c r="C7" s="27">
        <f>C6/(Assumptions!$B$4*Assumptions!$B$6)</f>
        <v/>
      </c>
      <c r="D7" s="27">
        <f>D6/(Assumptions!$B$4*Assumptions!$B$6)</f>
        <v/>
      </c>
    </row>
    <row r="8">
      <c r="A8" s="3" t="inlineStr">
        <is>
          <t>Calendar weeks</t>
        </is>
      </c>
      <c r="B8" s="27">
        <f>B6/(Assumptions!$B$5*Assumptions!$B$6)</f>
        <v/>
      </c>
      <c r="C8" s="27">
        <f>C6/(Assumptions!$B$5*Assumptions!$B$6)</f>
        <v/>
      </c>
      <c r="D8" s="27">
        <f>D6/(Assumptions!$B$5*Assumptions!$B$6)</f>
        <v/>
      </c>
    </row>
    <row r="9">
      <c r="A9" s="3" t="inlineStr">
        <is>
          <t>Cost (INR)</t>
        </is>
      </c>
      <c r="B9" s="25">
        <f>B6*Assumptions!$B$7</f>
        <v/>
      </c>
      <c r="C9" s="25">
        <f>C6*Assumptions!$B$7</f>
        <v/>
      </c>
      <c r="D9" s="25">
        <f>D6*Assumptions!$B$7</f>
        <v/>
      </c>
    </row>
    <row r="11">
      <c r="A11" s="23" t="inlineStr">
        <is>
          <t>Option B: Power BI on PostgreSQL DWH (client provides data up to DWH)</t>
        </is>
      </c>
    </row>
    <row r="12">
      <c r="A12" s="2" t="inlineStr">
        <is>
          <t>Metric</t>
        </is>
      </c>
      <c r="B12" s="2" t="inlineStr">
        <is>
          <t>Best case</t>
        </is>
      </c>
      <c r="C12" s="2" t="inlineStr">
        <is>
          <t>Estimated</t>
        </is>
      </c>
      <c r="D12" s="2" t="inlineStr">
        <is>
          <t>Worst case</t>
        </is>
      </c>
    </row>
    <row r="13">
      <c r="A13" s="3" t="inlineStr">
        <is>
          <t>Base effort (hours)</t>
        </is>
      </c>
      <c r="B13" s="25">
        <f>'Power BI Estimate'!E18</f>
        <v/>
      </c>
      <c r="C13" s="25">
        <f>'Power BI Estimate'!F18</f>
        <v/>
      </c>
      <c r="D13" s="25">
        <f>'Power BI Estimate'!G18</f>
        <v/>
      </c>
    </row>
    <row r="14">
      <c r="A14" s="3" t="inlineStr">
        <is>
          <t>Contingency buffer (hours)</t>
        </is>
      </c>
      <c r="B14" s="25">
        <f>'Power BI Estimate'!E19</f>
        <v/>
      </c>
      <c r="C14" s="25">
        <f>'Power BI Estimate'!F19</f>
        <v/>
      </c>
      <c r="D14" s="25">
        <f>'Power BI Estimate'!G19</f>
        <v/>
      </c>
    </row>
    <row r="15">
      <c r="A15" s="5" t="inlineStr">
        <is>
          <t>Total with buffer (hours)</t>
        </is>
      </c>
      <c r="B15" s="26">
        <f>'Power BI Estimate'!E20</f>
        <v/>
      </c>
      <c r="C15" s="26">
        <f>'Power BI Estimate'!F20</f>
        <v/>
      </c>
      <c r="D15" s="26">
        <f>'Power BI Estimate'!G20</f>
        <v/>
      </c>
    </row>
    <row r="16">
      <c r="A16" s="3" t="inlineStr">
        <is>
          <t>Working days</t>
        </is>
      </c>
      <c r="B16" s="27">
        <f>B15/(Assumptions!$B$4*Assumptions!$B$6)</f>
        <v/>
      </c>
      <c r="C16" s="27">
        <f>C15/(Assumptions!$B$4*Assumptions!$B$6)</f>
        <v/>
      </c>
      <c r="D16" s="27">
        <f>D15/(Assumptions!$B$4*Assumptions!$B$6)</f>
        <v/>
      </c>
    </row>
    <row r="17">
      <c r="A17" s="3" t="inlineStr">
        <is>
          <t>Calendar weeks</t>
        </is>
      </c>
      <c r="B17" s="27">
        <f>B15/(Assumptions!$B$5*Assumptions!$B$6)</f>
        <v/>
      </c>
      <c r="C17" s="27">
        <f>C15/(Assumptions!$B$5*Assumptions!$B$6)</f>
        <v/>
      </c>
      <c r="D17" s="27">
        <f>D15/(Assumptions!$B$5*Assumptions!$B$6)</f>
        <v/>
      </c>
    </row>
    <row r="18">
      <c r="A18" s="3" t="inlineStr">
        <is>
          <t>Cost (INR)</t>
        </is>
      </c>
      <c r="B18" s="25">
        <f>B15*Assumptions!$B$7</f>
        <v/>
      </c>
      <c r="C18" s="25">
        <f>C15*Assumptions!$B$7</f>
        <v/>
      </c>
      <c r="D18" s="25">
        <f>D15*Assumptions!$B$7</f>
        <v/>
      </c>
    </row>
    <row r="20">
      <c r="A20" s="23" t="inlineStr">
        <is>
          <t>Difference: Option B vs Option A (total hours, estimated)</t>
        </is>
      </c>
      <c r="C20" s="28">
        <f>C15-C6</f>
        <v/>
      </c>
    </row>
    <row r="22">
      <c r="A22" s="8" t="inlineStr">
        <is>
          <t>Sheets: Effort Estimate (Option A) | Power BI Estimate (Option B) | Requirement Mapping | Assumptions.</t>
        </is>
      </c>
    </row>
    <row r="23">
      <c r="A23" s="8" t="inlineStr">
        <is>
          <t>Cost is 0 until a rate is entered in Assumptions!B7.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70" customWidth="1" min="4" max="4"/>
    <col width="13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SRD Logistics - Power BI Delivery (Pentaho ETL -&gt; PostgreSQL DWH -&gt; Power BI)</t>
        </is>
      </c>
    </row>
    <row r="2">
      <c r="A2" s="8" t="inlineStr">
        <is>
          <t>Scope: data already loaded to DWH facts &amp; dimensions by client. Blue = input hours, black = formula.</t>
        </is>
      </c>
    </row>
    <row r="4">
      <c r="A4" s="9" t="inlineStr">
        <is>
          <t>#</t>
        </is>
      </c>
      <c r="B4" s="9" t="inlineStr">
        <is>
          <t>Work package</t>
        </is>
      </c>
      <c r="C4" s="9" t="inlineStr">
        <is>
          <t>Requirement section(s)</t>
        </is>
      </c>
      <c r="D4" s="9" t="inlineStr">
        <is>
          <t>Scope in Power BI architecture</t>
        </is>
      </c>
      <c r="E4" s="9" t="inlineStr">
        <is>
          <t>Best case (h)</t>
        </is>
      </c>
      <c r="F4" s="9" t="inlineStr">
        <is>
          <t>Estimated (h)</t>
        </is>
      </c>
      <c r="G4" s="9" t="inlineStr">
        <is>
          <t>Worst case (h)</t>
        </is>
      </c>
      <c r="H4" s="9" t="inlineStr">
        <is>
          <t>% of base</t>
        </is>
      </c>
    </row>
    <row r="5">
      <c r="A5" s="10" t="n">
        <v>1</v>
      </c>
      <c r="B5" s="10" t="inlineStr">
        <is>
          <t>Discovery &amp; clarification</t>
        </is>
      </c>
      <c r="C5" s="10" t="inlineStr">
        <is>
          <t>All</t>
        </is>
      </c>
      <c r="D5" s="10" t="inlineStr">
        <is>
          <t>Report definitions, review of DWH schema (facts/dims), definitions of service %, via, KT weight</t>
        </is>
      </c>
      <c r="E5" s="29" t="n">
        <v>10</v>
      </c>
      <c r="F5" s="29" t="n">
        <v>12</v>
      </c>
      <c r="G5" s="29" t="n">
        <v>18</v>
      </c>
      <c r="H5" s="30">
        <f>F5/$F$18</f>
        <v/>
      </c>
    </row>
    <row r="6">
      <c r="A6" s="10" t="n">
        <v>2</v>
      </c>
      <c r="B6" s="10" t="inlineStr">
        <is>
          <t>Semantic model</t>
        </is>
      </c>
      <c r="C6" s="10" t="inlineStr">
        <is>
          <t>0, 9</t>
        </is>
      </c>
      <c r="D6" s="10" t="inlineStr">
        <is>
          <t>PostgreSQL connection, relationships, date dimension, security, model performance</t>
        </is>
      </c>
      <c r="E6" s="29" t="n">
        <v>18</v>
      </c>
      <c r="F6" s="29" t="n">
        <v>24</v>
      </c>
      <c r="G6" s="29" t="n">
        <v>32</v>
      </c>
      <c r="H6" s="30">
        <f>F6/$F$18</f>
        <v/>
      </c>
    </row>
    <row r="7">
      <c r="A7" s="10" t="n">
        <v>3</v>
      </c>
      <c r="B7" s="10" t="inlineStr">
        <is>
          <t>Configurable target engine</t>
        </is>
      </c>
      <c r="C7" s="10" t="inlineStr">
        <is>
          <t>1, 9</t>
        </is>
      </c>
      <c r="D7" s="10" t="inlineStr">
        <is>
          <t>Target table in DWH, what-if / field parameters for target days (4/5/6/7+), DAX measures</t>
        </is>
      </c>
      <c r="E7" s="29" t="n">
        <v>16</v>
      </c>
      <c r="F7" s="29" t="n">
        <v>20</v>
      </c>
      <c r="G7" s="29" t="n">
        <v>28</v>
      </c>
      <c r="H7" s="30">
        <f>F7/$F$18</f>
        <v/>
      </c>
    </row>
    <row r="8">
      <c r="A8" s="10" t="n">
        <v>4</v>
      </c>
      <c r="B8" s="10" t="inlineStr">
        <is>
          <t>Service % &amp; target achievement reports</t>
        </is>
      </c>
      <c r="C8" s="10" t="inlineStr">
        <is>
          <t>1, 2</t>
        </is>
      </c>
      <c r="D8" s="10" t="inlineStr">
        <is>
          <t>Source/destination/route/via/business service %, target %, actual %, variation %, ranking</t>
        </is>
      </c>
      <c r="E8" s="29" t="n">
        <v>24</v>
      </c>
      <c r="F8" s="29" t="n">
        <v>30</v>
      </c>
      <c r="G8" s="29" t="n">
        <v>40</v>
      </c>
      <c r="H8" s="30">
        <f>F8/$F$18</f>
        <v/>
      </c>
    </row>
    <row r="9">
      <c r="A9" s="10" t="n">
        <v>5</v>
      </c>
      <c r="B9" s="10" t="inlineStr">
        <is>
          <t>Delay &amp; journey analysis, drill-through</t>
        </is>
      </c>
      <c r="C9" s="10" t="inlineStr">
        <is>
          <t>3</t>
        </is>
      </c>
      <c r="D9" s="10" t="inlineStr">
        <is>
          <t>Stage-wise delay, route -&gt; stage -&gt; LR -&gt; reason drill-through, remarks</t>
        </is>
      </c>
      <c r="E9" s="29" t="n">
        <v>24</v>
      </c>
      <c r="F9" s="29" t="n">
        <v>30</v>
      </c>
      <c r="G9" s="29" t="n">
        <v>40</v>
      </c>
      <c r="H9" s="30">
        <f>F9/$F$18</f>
        <v/>
      </c>
    </row>
    <row r="10">
      <c r="A10" s="10" t="n">
        <v>6</v>
      </c>
      <c r="B10" s="10" t="inlineStr">
        <is>
          <t>LR search &amp; consignor/consignee analytics</t>
        </is>
      </c>
      <c r="C10" s="10" t="inlineStr">
        <is>
          <t>4</t>
        </is>
      </c>
      <c r="D10" s="10" t="inlineStr">
        <is>
          <t>LR journey page, consignor/consignee reports and variation vs target</t>
        </is>
      </c>
      <c r="E10" s="29" t="n">
        <v>16</v>
      </c>
      <c r="F10" s="29" t="n">
        <v>20</v>
      </c>
      <c r="G10" s="29" t="n">
        <v>28</v>
      </c>
      <c r="H10" s="30">
        <f>F10/$F$18</f>
        <v/>
      </c>
    </row>
    <row r="11">
      <c r="A11" s="10" t="n">
        <v>7</v>
      </c>
      <c r="B11" s="10" t="inlineStr">
        <is>
          <t>Period-wise &amp; comparison reports</t>
        </is>
      </c>
      <c r="C11" s="10" t="inlineStr">
        <is>
          <t>5</t>
        </is>
      </c>
      <c r="D11" s="10" t="inlineStr">
        <is>
          <t>Weekly/10-day/15-day/monthly/yearly, custom period, current vs previous (DAX time intelligence)</t>
        </is>
      </c>
      <c r="E11" s="29" t="n">
        <v>10</v>
      </c>
      <c r="F11" s="29" t="n">
        <v>14</v>
      </c>
      <c r="G11" s="29" t="n">
        <v>20</v>
      </c>
      <c r="H11" s="30">
        <f>F11/$F$18</f>
        <v/>
      </c>
    </row>
    <row r="12">
      <c r="A12" s="10" t="n">
        <v>8</v>
      </c>
      <c r="B12" s="10" t="inlineStr">
        <is>
          <t>Booking -&gt; main hub dispatch</t>
        </is>
      </c>
      <c r="C12" s="10" t="inlineStr">
        <is>
          <t>6</t>
        </is>
      </c>
      <c r="D12" s="10" t="inlineStr">
        <is>
          <t>Receipt/dispatch times, pending/delayed/dispatched LR ageing, source &amp; hub performance</t>
        </is>
      </c>
      <c r="E12" s="29" t="n">
        <v>18</v>
      </c>
      <c r="F12" s="29" t="n">
        <v>22</v>
      </c>
      <c r="G12" s="29" t="n">
        <v>30</v>
      </c>
      <c r="H12" s="30">
        <f>F12/$F$18</f>
        <v/>
      </c>
    </row>
    <row r="13">
      <c r="A13" s="10" t="n">
        <v>9</v>
      </c>
      <c r="B13" s="10" t="inlineStr">
        <is>
          <t>Live reports</t>
        </is>
      </c>
      <c r="C13" s="10" t="inlineStr">
        <is>
          <t>7</t>
        </is>
      </c>
      <c r="D13" s="10" t="inlineStr">
        <is>
          <t>DirectQuery or near-real-time refresh on DWH (Pentaho pulls SRD API); 6 live reports</t>
        </is>
      </c>
      <c r="E13" s="29" t="n">
        <v>18</v>
      </c>
      <c r="F13" s="29" t="n">
        <v>24</v>
      </c>
      <c r="G13" s="29" t="n">
        <v>40</v>
      </c>
      <c r="H13" s="30">
        <f>F13/$F$18</f>
        <v/>
      </c>
    </row>
    <row r="14">
      <c r="A14" s="10" t="n">
        <v>10</v>
      </c>
      <c r="B14" s="10" t="inlineStr">
        <is>
          <t>Improvement suggestions</t>
        </is>
      </c>
      <c r="C14" s="10" t="inlineStr">
        <is>
          <t>8</t>
        </is>
      </c>
      <c r="D14" s="10" t="inlineStr">
        <is>
          <t>SQL/Python job writing route/stage/LR suggestions to DWH; surfaced in Power BI</t>
        </is>
      </c>
      <c r="E14" s="29" t="n">
        <v>12</v>
      </c>
      <c r="F14" s="29" t="n">
        <v>16</v>
      </c>
      <c r="G14" s="29" t="n">
        <v>24</v>
      </c>
      <c r="H14" s="30">
        <f>F14/$F$18</f>
        <v/>
      </c>
    </row>
    <row r="15">
      <c r="A15" s="10" t="n">
        <v>11</v>
      </c>
      <c r="B15" s="10" t="inlineStr">
        <is>
          <t>ML delay-risk scoring (optional)</t>
        </is>
      </c>
      <c r="C15" s="10" t="inlineStr">
        <is>
          <t>Existing</t>
        </is>
      </c>
      <c r="D15" s="10" t="inlineStr">
        <is>
          <t>Python scoring job writes risk &amp; top factors to DWH; Power BI reads. Drop if not required</t>
        </is>
      </c>
      <c r="E15" s="29" t="n">
        <v>14</v>
      </c>
      <c r="F15" s="29" t="n">
        <v>20</v>
      </c>
      <c r="G15" s="29" t="n">
        <v>28</v>
      </c>
      <c r="H15" s="30">
        <f>F15/$F$18</f>
        <v/>
      </c>
    </row>
    <row r="16">
      <c r="A16" s="10" t="n">
        <v>12</v>
      </c>
      <c r="B16" s="10" t="inlineStr">
        <is>
          <t>Slicers, filters &amp; export</t>
        </is>
      </c>
      <c r="C16" s="10" t="inlineStr">
        <is>
          <t>9</t>
        </is>
      </c>
      <c r="D16" s="10" t="inlineStr">
        <is>
          <t>Slicers for period/source/destination/via/business/consignor/consignee/LR, export</t>
        </is>
      </c>
      <c r="E16" s="29" t="n">
        <v>6</v>
      </c>
      <c r="F16" s="29" t="n">
        <v>8</v>
      </c>
      <c r="G16" s="29" t="n">
        <v>12</v>
      </c>
      <c r="H16" s="30">
        <f>F16/$F$18</f>
        <v/>
      </c>
    </row>
    <row r="17">
      <c r="A17" s="10" t="n">
        <v>13</v>
      </c>
      <c r="B17" s="10" t="inlineStr">
        <is>
          <t>Testing, UAT, gateway, refresh, publish</t>
        </is>
      </c>
      <c r="C17" s="10" t="inlineStr">
        <is>
          <t>All</t>
        </is>
      </c>
      <c r="D17" s="10" t="inlineStr">
        <is>
          <t>UAT cycle, on-prem gateway, scheduled refresh, Power BI Service deployment, documentation</t>
        </is>
      </c>
      <c r="E17" s="29" t="n">
        <v>18</v>
      </c>
      <c r="F17" s="29" t="n">
        <v>24</v>
      </c>
      <c r="G17" s="29" t="n">
        <v>32</v>
      </c>
      <c r="H17" s="30">
        <f>F17/$F$18</f>
        <v/>
      </c>
    </row>
    <row r="18">
      <c r="A18" s="13" t="n"/>
      <c r="B18" s="13" t="inlineStr">
        <is>
          <t>Base total (before buffer)</t>
        </is>
      </c>
      <c r="C18" s="13" t="n"/>
      <c r="D18" s="13" t="n"/>
      <c r="E18" s="31">
        <f>SUM(E5:E17)</f>
        <v/>
      </c>
      <c r="F18" s="31">
        <f>SUM(F5:F17)</f>
        <v/>
      </c>
      <c r="G18" s="31">
        <f>SUM(G5:G17)</f>
        <v/>
      </c>
      <c r="H18" s="32">
        <f>SUM(H5:H17)</f>
        <v/>
      </c>
    </row>
    <row r="19">
      <c r="A19" s="13" t="n"/>
      <c r="B19" s="13" t="inlineStr">
        <is>
          <t>Contingency buffer</t>
        </is>
      </c>
      <c r="C19" s="13" t="n"/>
      <c r="D19" s="13" t="inlineStr">
        <is>
          <t>Linked to Assumptions!B3 (same 100 h buffer)</t>
        </is>
      </c>
      <c r="E19" s="33">
        <f>Assumptions!$B$3</f>
        <v/>
      </c>
      <c r="F19" s="33">
        <f>Assumptions!$B$3</f>
        <v/>
      </c>
      <c r="G19" s="33">
        <f>Assumptions!$B$3</f>
        <v/>
      </c>
      <c r="H19" s="13" t="n"/>
    </row>
    <row r="20">
      <c r="A20" s="17" t="n"/>
      <c r="B20" s="17" t="inlineStr">
        <is>
          <t>GRAND TOTAL (with buffer)</t>
        </is>
      </c>
      <c r="C20" s="17" t="n"/>
      <c r="D20" s="17" t="n"/>
      <c r="E20" s="34">
        <f>E18+E19</f>
        <v/>
      </c>
      <c r="F20" s="34">
        <f>F18+F19</f>
        <v/>
      </c>
      <c r="G20" s="34">
        <f>G18+G19</f>
        <v/>
      </c>
      <c r="H20" s="17" t="n"/>
    </row>
    <row r="22">
      <c r="B22" s="23" t="inlineStr">
        <is>
          <t>Assumptions</t>
        </is>
      </c>
    </row>
    <row r="23" ht="28" customHeight="1">
      <c r="B23" s="24" t="inlineStr">
        <is>
          <t>1. Data engineering (Pentaho ETL, staging, PostgreSQL DWH facts/dimensions) is done by the client and excluded.</t>
        </is>
      </c>
    </row>
    <row r="24" ht="28" customHeight="1">
      <c r="B24" s="24" t="inlineStr">
        <is>
          <t>2. DWH already contains LR, consignor, consignee, via, hub, business and journey-stage timestamps; otherwise ETL effort returns.</t>
        </is>
      </c>
    </row>
    <row r="25" ht="28" customHeight="1">
      <c r="B25" s="24" t="inlineStr">
        <is>
          <t>3. Power BI cannot run the scikit-learn/SHAP model directly; ML is a Python scoring job writing to the DWH (row 11, optional).</t>
        </is>
      </c>
    </row>
    <row r="26" ht="28" customHeight="1">
      <c r="B26" s="24" t="inlineStr">
        <is>
          <t>4. Live API data is pulled by Pentaho into the DWH every few minutes; Power BI uses DirectQuery. Streaming datasets would change effort.</t>
        </is>
      </c>
    </row>
    <row r="27" ht="28" customHeight="1">
      <c r="B27" s="24" t="inlineStr">
        <is>
          <t>5. Excluded: Power BI Pro/Premium licensing, hosting, user management beyond basic row-level security.</t>
        </is>
      </c>
    </row>
    <row r="28" ht="28" customHeight="1">
      <c r="B28" s="24" t="inlineStr">
        <is>
          <t>6. Best/worst case columns are judgement-based ranges around the estimate, not statistical bounds.</t>
        </is>
      </c>
    </row>
  </sheetData>
  <mergeCells count="6">
    <mergeCell ref="B26:H26"/>
    <mergeCell ref="B27:H27"/>
    <mergeCell ref="B24:H24"/>
    <mergeCell ref="B25:H25"/>
    <mergeCell ref="B28:H28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70" customWidth="1" min="4" max="4"/>
    <col width="13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SRD Logistics - Service Performance &amp; Live Reporting: Effort Estimate</t>
        </is>
      </c>
    </row>
    <row r="2">
      <c r="A2" s="8" t="inlineStr">
        <is>
          <t>Blue = editable input hours. Black = formula. Yellow = key assumption.</t>
        </is>
      </c>
    </row>
    <row r="4">
      <c r="A4" s="9" t="inlineStr">
        <is>
          <t>#</t>
        </is>
      </c>
      <c r="B4" s="9" t="inlineStr">
        <is>
          <t>Work package</t>
        </is>
      </c>
      <c r="C4" s="9" t="inlineStr">
        <is>
          <t>Requirement section(s)</t>
        </is>
      </c>
      <c r="D4" s="9" t="inlineStr">
        <is>
          <t>Scope / what changes in existing app</t>
        </is>
      </c>
      <c r="E4" s="9" t="inlineStr">
        <is>
          <t>Best case (h)</t>
        </is>
      </c>
      <c r="F4" s="9" t="inlineStr">
        <is>
          <t>Estimated (h)</t>
        </is>
      </c>
      <c r="G4" s="9" t="inlineStr">
        <is>
          <t>Worst case (h)</t>
        </is>
      </c>
      <c r="H4" s="9" t="inlineStr">
        <is>
          <t>% of base</t>
        </is>
      </c>
    </row>
    <row r="5">
      <c r="A5" s="10" t="n">
        <v>1</v>
      </c>
      <c r="B5" s="10" t="inlineStr">
        <is>
          <t>Discovery &amp; clarification</t>
        </is>
      </c>
      <c r="C5" s="10" t="inlineStr">
        <is>
          <t>All</t>
        </is>
      </c>
      <c r="D5" s="10" t="inlineStr">
        <is>
          <t>Requirement clarification, SRD data &amp; API mapping, definitions (service %, via, KT weight)</t>
        </is>
      </c>
      <c r="E5" s="29" t="n">
        <v>16</v>
      </c>
      <c r="F5" s="29" t="n">
        <v>20</v>
      </c>
      <c r="G5" s="29" t="n">
        <v>28</v>
      </c>
      <c r="H5" s="30">
        <f>F5/$F$18</f>
        <v/>
      </c>
    </row>
    <row r="6">
      <c r="A6" s="10" t="n">
        <v>2</v>
      </c>
      <c r="B6" s="10" t="inlineStr">
        <is>
          <t>Data layer (real SRD data)</t>
        </is>
      </c>
      <c r="C6" s="10" t="inlineStr">
        <is>
          <t>0</t>
        </is>
      </c>
      <c r="D6" s="10" t="inlineStr">
        <is>
          <t>Ingestion/ETL, LR-level schema (LR, consignor, consignee, via, hub, business, stage timestamps), cleaning &amp; validation</t>
        </is>
      </c>
      <c r="E6" s="29" t="n">
        <v>30</v>
      </c>
      <c r="F6" s="29" t="n">
        <v>40</v>
      </c>
      <c r="G6" s="29" t="n">
        <v>55</v>
      </c>
      <c r="H6" s="30">
        <f>F6/$F$18</f>
        <v/>
      </c>
    </row>
    <row r="7">
      <c r="A7" s="10" t="n">
        <v>3</v>
      </c>
      <c r="B7" s="10" t="inlineStr">
        <is>
          <t>Configurable target engine</t>
        </is>
      </c>
      <c r="C7" s="10" t="inlineStr">
        <is>
          <t>1, 9</t>
        </is>
      </c>
      <c r="D7" s="10" t="inlineStr">
        <is>
          <t>Per route / source-destination benchmark TAT, target-days (4/5/6/7+), config UI, no hard-coded rules</t>
        </is>
      </c>
      <c r="E7" s="29" t="n">
        <v>22</v>
      </c>
      <c r="F7" s="29" t="n">
        <v>28</v>
      </c>
      <c r="G7" s="29" t="n">
        <v>36</v>
      </c>
      <c r="H7" s="30">
        <f>F7/$F$18</f>
        <v/>
      </c>
    </row>
    <row r="8">
      <c r="A8" s="10" t="n">
        <v>4</v>
      </c>
      <c r="B8" s="10" t="inlineStr">
        <is>
          <t>Service % &amp; target achievement reports</t>
        </is>
      </c>
      <c r="C8" s="10" t="inlineStr">
        <is>
          <t>1, 2</t>
        </is>
      </c>
      <c r="D8" s="10" t="inlineStr">
        <is>
          <t>Source/destination/route/via/business service %, target %, actual %, variation %, ranked delays</t>
        </is>
      </c>
      <c r="E8" s="29" t="n">
        <v>26</v>
      </c>
      <c r="F8" s="29" t="n">
        <v>32</v>
      </c>
      <c r="G8" s="29" t="n">
        <v>42</v>
      </c>
      <c r="H8" s="30">
        <f>F8/$F$18</f>
        <v/>
      </c>
    </row>
    <row r="9">
      <c r="A9" s="10" t="n">
        <v>5</v>
      </c>
      <c r="B9" s="10" t="inlineStr">
        <is>
          <t>Delay &amp; journey analysis + drill-down</t>
        </is>
      </c>
      <c r="C9" s="10" t="inlineStr">
        <is>
          <t>3</t>
        </is>
      </c>
      <c r="D9" s="10" t="inlineStr">
        <is>
          <t>Stage-level delay logic (booking→delivery), route→stage→LR→reason drill-down, delay remarks</t>
        </is>
      </c>
      <c r="E9" s="29" t="n">
        <v>30</v>
      </c>
      <c r="F9" s="29" t="n">
        <v>36</v>
      </c>
      <c r="G9" s="29" t="n">
        <v>46</v>
      </c>
      <c r="H9" s="30">
        <f>F9/$F$18</f>
        <v/>
      </c>
    </row>
    <row r="10">
      <c r="A10" s="10" t="n">
        <v>6</v>
      </c>
      <c r="B10" s="10" t="inlineStr">
        <is>
          <t>LR search, consignor/consignee analytics</t>
        </is>
      </c>
      <c r="C10" s="10" t="inlineStr">
        <is>
          <t>4</t>
        </is>
      </c>
      <c r="D10" s="10" t="inlineStr">
        <is>
          <t>LR journey timeline, consignor/consignee search &amp; service % vs target, source/dest/route/period drill-down</t>
        </is>
      </c>
      <c r="E10" s="29" t="n">
        <v>22</v>
      </c>
      <c r="F10" s="29" t="n">
        <v>28</v>
      </c>
      <c r="G10" s="29" t="n">
        <v>36</v>
      </c>
      <c r="H10" s="30">
        <f>F10/$F$18</f>
        <v/>
      </c>
    </row>
    <row r="11">
      <c r="A11" s="10" t="n">
        <v>7</v>
      </c>
      <c r="B11" s="10" t="inlineStr">
        <is>
          <t>Period-wise &amp; comparison reports</t>
        </is>
      </c>
      <c r="C11" s="10" t="inlineStr">
        <is>
          <t>5</t>
        </is>
      </c>
      <c r="D11" s="10" t="inlineStr">
        <is>
          <t>Weekly/10-day/15-day/monthly/yearly views, custom period, current vs previous comparison</t>
        </is>
      </c>
      <c r="E11" s="29" t="n">
        <v>16</v>
      </c>
      <c r="F11" s="29" t="n">
        <v>20</v>
      </c>
      <c r="G11" s="29" t="n">
        <v>26</v>
      </c>
      <c r="H11" s="30">
        <f>F11/$F$18</f>
        <v/>
      </c>
    </row>
    <row r="12">
      <c r="A12" s="10" t="n">
        <v>8</v>
      </c>
      <c r="B12" s="10" t="inlineStr">
        <is>
          <t>Booking → main hub dispatch</t>
        </is>
      </c>
      <c r="C12" s="10" t="inlineStr">
        <is>
          <t>6</t>
        </is>
      </c>
      <c r="D12" s="10" t="inlineStr">
        <is>
          <t>Receipt/dispatch time calc, pending/delayed/dispatched LR ageing, source &amp; hub performance</t>
        </is>
      </c>
      <c r="E12" s="29" t="n">
        <v>22</v>
      </c>
      <c r="F12" s="29" t="n">
        <v>28</v>
      </c>
      <c r="G12" s="29" t="n">
        <v>36</v>
      </c>
      <c r="H12" s="30">
        <f>F12/$F$18</f>
        <v/>
      </c>
    </row>
    <row r="13">
      <c r="A13" s="10" t="n">
        <v>9</v>
      </c>
      <c r="B13" s="10" t="inlineStr">
        <is>
          <t>Live reports via SRD API</t>
        </is>
      </c>
      <c r="C13" s="10" t="inlineStr">
        <is>
          <t>7</t>
        </is>
      </c>
      <c r="D13" s="10" t="inlineStr">
        <is>
          <t>API client/auth, polling &amp; caching, 6 live reports (bookings, lag/lead, target, KT weight, godown stock, hub movement)</t>
        </is>
      </c>
      <c r="E13" s="29" t="n">
        <v>28</v>
      </c>
      <c r="F13" s="29" t="n">
        <v>36</v>
      </c>
      <c r="G13" s="29" t="n">
        <v>56</v>
      </c>
      <c r="H13" s="30">
        <f>F13/$F$18</f>
        <v/>
      </c>
    </row>
    <row r="14">
      <c r="A14" s="10" t="n">
        <v>10</v>
      </c>
      <c r="B14" s="10" t="inlineStr">
        <is>
          <t>Improvement suggestions engine</t>
        </is>
      </c>
      <c r="C14" s="10" t="inlineStr">
        <is>
          <t>8</t>
        </is>
      </c>
      <c r="D14" s="10" t="inlineStr">
        <is>
          <t>Move rule engine from network level to route/stage/LR-level suggestions</t>
        </is>
      </c>
      <c r="E14" s="29" t="n">
        <v>16</v>
      </c>
      <c r="F14" s="29" t="n">
        <v>20</v>
      </c>
      <c r="G14" s="29" t="n">
        <v>26</v>
      </c>
      <c r="H14" s="30">
        <f>F14/$F$18</f>
        <v/>
      </c>
    </row>
    <row r="15">
      <c r="A15" s="10" t="n">
        <v>11</v>
      </c>
      <c r="B15" s="10" t="inlineStr">
        <is>
          <t>ML retraining &amp; explainability</t>
        </is>
      </c>
      <c r="C15" s="10" t="inlineStr">
        <is>
          <t>Existing</t>
        </is>
      </c>
      <c r="D15" s="10" t="inlineStr">
        <is>
          <t>Retrain on real data, update features, SHAP &amp; what-if adjustments</t>
        </is>
      </c>
      <c r="E15" s="29" t="n">
        <v>14</v>
      </c>
      <c r="F15" s="29" t="n">
        <v>20</v>
      </c>
      <c r="G15" s="29" t="n">
        <v>28</v>
      </c>
      <c r="H15" s="30">
        <f>F15/$F$18</f>
        <v/>
      </c>
    </row>
    <row r="16">
      <c r="A16" s="10" t="n">
        <v>12</v>
      </c>
      <c r="B16" s="10" t="inlineStr">
        <is>
          <t>Global filters &amp; export</t>
        </is>
      </c>
      <c r="C16" s="10" t="inlineStr">
        <is>
          <t>9</t>
        </is>
      </c>
      <c r="D16" s="10" t="inlineStr">
        <is>
          <t>Filters for via/business/consignor/consignee/LR, CSV/Excel export, standard report table</t>
        </is>
      </c>
      <c r="E16" s="29" t="n">
        <v>10</v>
      </c>
      <c r="F16" s="29" t="n">
        <v>12</v>
      </c>
      <c r="G16" s="29" t="n">
        <v>16</v>
      </c>
      <c r="H16" s="30">
        <f>F16/$F$18</f>
        <v/>
      </c>
    </row>
    <row r="17">
      <c r="A17" s="10" t="n">
        <v>13</v>
      </c>
      <c r="B17" s="10" t="inlineStr">
        <is>
          <t>Testing, UAT fixes, deployment, docs</t>
        </is>
      </c>
      <c r="C17" s="10" t="inlineStr">
        <is>
          <t>All</t>
        </is>
      </c>
      <c r="D17" s="10" t="inlineStr">
        <is>
          <t>Unit tests, UAT cycle, deployment, user documentation</t>
        </is>
      </c>
      <c r="E17" s="29" t="n">
        <v>24</v>
      </c>
      <c r="F17" s="29" t="n">
        <v>30</v>
      </c>
      <c r="G17" s="29" t="n">
        <v>40</v>
      </c>
      <c r="H17" s="30">
        <f>F17/$F$18</f>
        <v/>
      </c>
    </row>
    <row r="18">
      <c r="A18" s="13" t="n"/>
      <c r="B18" s="13" t="inlineStr">
        <is>
          <t>Base total (before buffer)</t>
        </is>
      </c>
      <c r="C18" s="13" t="n"/>
      <c r="D18" s="13" t="n"/>
      <c r="E18" s="31">
        <f>SUM(E5:E17)</f>
        <v/>
      </c>
      <c r="F18" s="31">
        <f>SUM(F5:F17)</f>
        <v/>
      </c>
      <c r="G18" s="31">
        <f>SUM(G5:G17)</f>
        <v/>
      </c>
      <c r="H18" s="32">
        <f>SUM(H5:H17)</f>
        <v/>
      </c>
    </row>
    <row r="19">
      <c r="A19" s="13" t="n"/>
      <c r="B19" s="13" t="inlineStr">
        <is>
          <t>Contingency buffer (requested)</t>
        </is>
      </c>
      <c r="C19" s="13" t="n"/>
      <c r="D19" s="13" t="inlineStr">
        <is>
          <t>Additional buffer agreed with stakeholder; covers unknown data quality, API spec, UAT rework, scope creep</t>
        </is>
      </c>
      <c r="E19" s="33">
        <f>Assumptions!$B$3</f>
        <v/>
      </c>
      <c r="F19" s="33">
        <f>Assumptions!$B$3</f>
        <v/>
      </c>
      <c r="G19" s="33">
        <f>Assumptions!$B$3</f>
        <v/>
      </c>
      <c r="H19" s="13" t="n"/>
    </row>
    <row r="20">
      <c r="A20" s="17" t="n"/>
      <c r="B20" s="17" t="inlineStr">
        <is>
          <t>GRAND TOTAL (with buffer)</t>
        </is>
      </c>
      <c r="C20" s="17" t="n"/>
      <c r="D20" s="17" t="n"/>
      <c r="E20" s="34">
        <f>E18+E19</f>
        <v/>
      </c>
      <c r="F20" s="34">
        <f>F18+F19</f>
        <v/>
      </c>
      <c r="G20" s="34">
        <f>G18+G19</f>
        <v/>
      </c>
      <c r="H20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</cols>
  <sheetData>
    <row r="1">
      <c r="A1" s="1" t="inlineStr">
        <is>
          <t>Assumptions &amp; Inputs</t>
        </is>
      </c>
    </row>
    <row r="2">
      <c r="A2" s="19" t="inlineStr">
        <is>
          <t>Parameter</t>
        </is>
      </c>
      <c r="B2" s="19" t="inlineStr">
        <is>
          <t>Value</t>
        </is>
      </c>
      <c r="C2" s="19" t="inlineStr">
        <is>
          <t>Note</t>
        </is>
      </c>
    </row>
    <row r="3">
      <c r="A3" s="10" t="inlineStr">
        <is>
          <t>Contingency buffer (hours)</t>
        </is>
      </c>
      <c r="B3" s="20" t="n">
        <v>100</v>
      </c>
      <c r="C3" s="10" t="inlineStr">
        <is>
          <t>Requested by user: additional 100 h on top of base estimate</t>
        </is>
      </c>
    </row>
    <row r="4">
      <c r="A4" s="10" t="inlineStr">
        <is>
          <t>Working hours per day</t>
        </is>
      </c>
      <c r="B4" s="21" t="n">
        <v>8</v>
      </c>
      <c r="C4" s="10" t="inlineStr">
        <is>
          <t>Assumed</t>
        </is>
      </c>
    </row>
    <row r="5">
      <c r="A5" s="10" t="inlineStr">
        <is>
          <t>Working hours per person-week</t>
        </is>
      </c>
      <c r="B5" s="21" t="n">
        <v>40</v>
      </c>
      <c r="C5" s="10" t="inlineStr">
        <is>
          <t>Assumed</t>
        </is>
      </c>
    </row>
    <row r="6">
      <c r="A6" s="10" t="inlineStr">
        <is>
          <t>Team size (developers)</t>
        </is>
      </c>
      <c r="B6" s="21" t="n">
        <v>1</v>
      </c>
      <c r="C6" s="10" t="inlineStr">
        <is>
          <t>Assumed single full-time developer; change to see duration</t>
        </is>
      </c>
    </row>
    <row r="7">
      <c r="A7" s="10" t="inlineStr">
        <is>
          <t>Blended hourly rate (INR)</t>
        </is>
      </c>
      <c r="B7" s="22" t="n">
        <v>0</v>
      </c>
      <c r="C7" s="10" t="inlineStr">
        <is>
          <t>Not provided - enter rate to compute cost</t>
        </is>
      </c>
    </row>
    <row r="9">
      <c r="A9" s="23" t="inlineStr">
        <is>
          <t>Key assumptions and risks</t>
        </is>
      </c>
    </row>
    <row r="10" ht="30" customHeight="1">
      <c r="A10" s="24" t="inlineStr">
        <is>
          <t>1. Real SRD LR-level data is provided; if not, a new synthetic generator is needed (~30 h extra, covered by buffer).</t>
        </is>
      </c>
    </row>
    <row r="11" ht="30" customHeight="1">
      <c r="A11" s="24" t="inlineStr">
        <is>
          <t>2. SRD live API is documented with endpoints, auth and rate limits; 'live' = periodic polling in Streamlit, not streaming.</t>
        </is>
      </c>
    </row>
    <row r="12" ht="30" customHeight="1">
      <c r="A12" s="24" t="inlineStr">
        <is>
          <t>3. Data volume stays near current scale (~120k records); larger volumes need caching/DB layer (~20 h, covered by buffer).</t>
        </is>
      </c>
    </row>
    <row r="13" ht="30" customHeight="1">
      <c r="A13" s="24" t="inlineStr">
        <is>
          <t>4. Ambiguous terms to confirm with client: 'KT weight', exact service % definition, meaning of 'via'.</t>
        </is>
      </c>
    </row>
    <row r="14" ht="30" customHeight="1">
      <c r="A14" s="24" t="inlineStr">
        <is>
          <t>5. Excluded: hosting/DevOps, user login/role management, mobile layouts.</t>
        </is>
      </c>
    </row>
    <row r="15" ht="30" customHeight="1">
      <c r="A15" s="24" t="inlineStr">
        <is>
          <t>6. Based on review of the existing repo: 14-page Streamlit app, shipment-level synthetic data, no LR/consignor/consignee/via/business concept, fixed promised-days target.</t>
        </is>
      </c>
    </row>
    <row r="16" ht="30" customHeight="1">
      <c r="A16" s="24" t="inlineStr">
        <is>
          <t>7. Source of requirements: SRD Logistics Consolidated Service Performance &amp; Live Reporting Requirements (3-page scanned PDF with handwritten notes).</t>
        </is>
      </c>
    </row>
  </sheetData>
  <mergeCells count="7">
    <mergeCell ref="A10:C10"/>
    <mergeCell ref="A13:C13"/>
    <mergeCell ref="A11:C11"/>
    <mergeCell ref="A14:C14"/>
    <mergeCell ref="A12:C12"/>
    <mergeCell ref="A16:C16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2" customWidth="1" min="3" max="3"/>
    <col width="55" customWidth="1" min="4" max="4"/>
    <col width="14" customWidth="1" min="5" max="5"/>
  </cols>
  <sheetData>
    <row r="1">
      <c r="A1" s="9" t="inlineStr">
        <is>
          <t>Section</t>
        </is>
      </c>
      <c r="B1" s="9" t="inlineStr">
        <is>
          <t>Requirement</t>
        </is>
      </c>
      <c r="C1" s="9" t="inlineStr">
        <is>
          <t>Current app status</t>
        </is>
      </c>
      <c r="D1" s="9" t="inlineStr">
        <is>
          <t>Gap / update needed</t>
        </is>
      </c>
      <c r="E1" s="9" t="inlineStr">
        <is>
          <t>Work package #</t>
        </is>
      </c>
    </row>
    <row r="2">
      <c r="A2" s="10" t="inlineStr">
        <is>
          <t>1</t>
        </is>
      </c>
      <c r="B2" s="10" t="inlineStr">
        <is>
          <t>Service % (overall, source, destination, route) vs target, variation</t>
        </is>
      </c>
      <c r="C2" s="10" t="inlineStr">
        <is>
          <t>Partly available (route delay/on-time %)</t>
        </is>
      </c>
      <c r="D2" s="10" t="inlineStr">
        <is>
          <t>Configurable target %, actual vs target, variation; target-days filter</t>
        </is>
      </c>
      <c r="E2" s="10" t="inlineStr">
        <is>
          <t>3, 4</t>
        </is>
      </c>
    </row>
    <row r="3">
      <c r="A3" s="10" t="inlineStr">
        <is>
          <t>1</t>
        </is>
      </c>
      <c r="B3" s="10" t="inlineStr">
        <is>
          <t>Consignor / consignee service % vs target</t>
        </is>
      </c>
      <c r="C3" s="10" t="inlineStr">
        <is>
          <t>Missing</t>
        </is>
      </c>
      <c r="D3" s="10" t="inlineStr">
        <is>
          <t>New entity and reports</t>
        </is>
      </c>
      <c r="E3" s="10" t="inlineStr">
        <is>
          <t>6</t>
        </is>
      </c>
    </row>
    <row r="4">
      <c r="A4" s="10" t="inlineStr">
        <is>
          <t>2</t>
        </is>
      </c>
      <c r="B4" s="10" t="inlineStr">
        <is>
          <t>Source-to-destination, source, destination, via, business performance</t>
        </is>
      </c>
      <c r="C4" s="10" t="inlineStr">
        <is>
          <t>Partly (route, warehouse)</t>
        </is>
      </c>
      <c r="D4" s="10" t="inlineStr">
        <is>
          <t>Add via and business views, ranking highest→lowest</t>
        </is>
      </c>
      <c r="E4" s="10" t="inlineStr">
        <is>
          <t>4</t>
        </is>
      </c>
    </row>
    <row r="5">
      <c r="A5" s="10" t="inlineStr">
        <is>
          <t>3</t>
        </is>
      </c>
      <c r="B5" s="10" t="inlineStr">
        <is>
          <t>Delay reason &amp; % at each journey point; booking→delivery analysis</t>
        </is>
      </c>
      <c r="C5" s="10" t="inlineStr">
        <is>
          <t>Partly (component times, delay reason)</t>
        </is>
      </c>
      <c r="D5" s="10" t="inlineStr">
        <is>
          <t>Stage-level logic and 4-level drill-down with remarks</t>
        </is>
      </c>
      <c r="E5" s="10" t="inlineStr">
        <is>
          <t>5</t>
        </is>
      </c>
    </row>
    <row r="6">
      <c r="A6" s="10" t="inlineStr">
        <is>
          <t>4</t>
        </is>
      </c>
      <c r="B6" s="10" t="inlineStr">
        <is>
          <t>Search LR, full journey; consignor/consignee search &amp; variation</t>
        </is>
      </c>
      <c r="C6" s="10" t="inlineStr">
        <is>
          <t>Missing</t>
        </is>
      </c>
      <c r="D6" s="10" t="inlineStr">
        <is>
          <t>LR timeline page; customer drill-down</t>
        </is>
      </c>
      <c r="E6" s="10" t="inlineStr">
        <is>
          <t>6</t>
        </is>
      </c>
    </row>
    <row r="7">
      <c r="A7" s="10" t="inlineStr">
        <is>
          <t>5</t>
        </is>
      </c>
      <c r="B7" s="10" t="inlineStr">
        <is>
          <t>Weekly/10-day/15-day/monthly/yearly; period comparison</t>
        </is>
      </c>
      <c r="C7" s="10" t="inlineStr">
        <is>
          <t>Missing (date range filter only)</t>
        </is>
      </c>
      <c r="D7" s="10" t="inlineStr">
        <is>
          <t>Period engine and comparison dashboard</t>
        </is>
      </c>
      <c r="E7" s="10" t="inlineStr">
        <is>
          <t>7</t>
        </is>
      </c>
    </row>
    <row r="8">
      <c r="A8" s="10" t="inlineStr">
        <is>
          <t>6</t>
        </is>
      </c>
      <c r="B8" s="10" t="inlineStr">
        <is>
          <t>Booking → main hub dispatch, ageing, pending LRs</t>
        </is>
      </c>
      <c r="C8" s="10" t="inlineStr">
        <is>
          <t>Missing</t>
        </is>
      </c>
      <c r="D8" s="10" t="inlineStr">
        <is>
          <t>New page with hub timestamps and ageing buckets</t>
        </is>
      </c>
      <c r="E8" s="10" t="inlineStr">
        <is>
          <t>8</t>
        </is>
      </c>
    </row>
    <row r="9">
      <c r="A9" s="10" t="inlineStr">
        <is>
          <t>7</t>
        </is>
      </c>
      <c r="B9" s="10" t="inlineStr">
        <is>
          <t>Live reports using SRD APIs (bookings, lag/lead, target, KT weight, godown stock, hub dispatch)</t>
        </is>
      </c>
      <c r="C9" s="10" t="inlineStr">
        <is>
          <t>Missing</t>
        </is>
      </c>
      <c r="D9" s="10" t="inlineStr">
        <is>
          <t>API integration and 6 live reports</t>
        </is>
      </c>
      <c r="E9" s="10" t="inlineStr">
        <is>
          <t>9</t>
        </is>
      </c>
    </row>
    <row r="10">
      <c r="A10" s="10" t="inlineStr">
        <is>
          <t>8</t>
        </is>
      </c>
      <c r="B10" s="10" t="inlineStr">
        <is>
          <t>System-generated route/stage/LR improvement suggestions</t>
        </is>
      </c>
      <c r="C10" s="10" t="inlineStr">
        <is>
          <t>Partly (network-level rules)</t>
        </is>
      </c>
      <c r="D10" s="10" t="inlineStr">
        <is>
          <t>Route/stage/LR-level suggestions</t>
        </is>
      </c>
      <c r="E10" s="10" t="inlineStr">
        <is>
          <t>10</t>
        </is>
      </c>
    </row>
    <row r="11">
      <c r="A11" s="10" t="inlineStr">
        <is>
          <t>9</t>
        </is>
      </c>
      <c r="B11" s="10" t="inlineStr">
        <is>
          <t>Filters (period, source, destination, via, business, consignor, consignee, LR, target days), configurable rules, export</t>
        </is>
      </c>
      <c r="C11" s="10" t="inlineStr">
        <is>
          <t>Partly (10 filters)</t>
        </is>
      </c>
      <c r="D11" s="10" t="inlineStr">
        <is>
          <t>Add new filters, config screen, standard report table, export</t>
        </is>
      </c>
      <c r="E11" s="10" t="inlineStr">
        <is>
          <t>3, 12</t>
        </is>
      </c>
    </row>
    <row r="12">
      <c r="A12" s="10" t="inlineStr">
        <is>
          <t>Existing</t>
        </is>
      </c>
      <c r="B12" s="10" t="inlineStr">
        <is>
          <t>ML risk prediction, SHAP, what-if</t>
        </is>
      </c>
      <c r="C12" s="10" t="inlineStr">
        <is>
          <t>Available (synthetic data)</t>
        </is>
      </c>
      <c r="D12" s="10" t="inlineStr">
        <is>
          <t>Retrain on real data</t>
        </is>
      </c>
      <c r="E12" s="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2026-09-30T04:11:11Z</dcterms:created>
  <dcterms:modified xsi:type="dcterms:W3CDTF">2026-09-30T04:50:55Z</dcterms:modified>
</cp:coreProperties>
</file>